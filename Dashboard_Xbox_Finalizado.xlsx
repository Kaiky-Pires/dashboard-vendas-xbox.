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5866AA86-7620-D042-9F17-D375D261DD84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D5" i="4"/>
  <c r="B5" i="4"/>
  <c r="C2" i="3"/>
  <c r="B2" i="3"/>
  <c r="A2" i="3"/>
</calcChain>
</file>

<file path=xl/sharedStrings.xml><?xml version="1.0" encoding="utf-8"?>
<sst xmlns="http://schemas.openxmlformats.org/spreadsheetml/2006/main" count="1999" uniqueCount="317">
  <si>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</si>
  <si>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</si>
  <si>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</si>
  <si>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</si>
  <si>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</si>
  <si>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</si>
  <si>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</si>
  <si>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</si>
  <si>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</si>
  <si>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</si>
  <si>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</si>
  <si>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</si>
  <si>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</si>
  <si>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</si>
  <si>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</si>
  <si>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</si>
  <si>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</si>
  <si>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</si>
  <si>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</si>
  <si>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</si>
  <si>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</si>
  <si>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</si>
  <si>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</si>
  <si>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</si>
  <si>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</si>
  <si>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</si>
  <si>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</si>
  <si>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</si>
  <si>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</si>
  <si>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</si>
  <si>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</si>
  <si>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</si>
  <si>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</si>
  <si>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</si>
  <si>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</si>
  <si>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</si>
  <si>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</si>
  <si>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</si>
  <si>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</si>
  <si>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</si>
  <si>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</si>
  <si>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</si>
  <si>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</si>
  <si>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</si>
  <si>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</si>
  <si>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</si>
  <si>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</si>
  <si>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</si>
  <si>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</si>
  <si>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</si>
  <si>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</si>
  <si>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</si>
  <si>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</si>
  <si>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</si>
  <si>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</si>
  <si>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</si>
  <si>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</si>
  <si>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</si>
  <si>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</si>
  <si>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</si>
  <si>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</si>
  <si>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</si>
  <si>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</si>
  <si>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</si>
  <si>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</si>
  <si>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</si>
  <si>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</si>
  <si>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</si>
  <si>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</si>
  <si>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</si>
  <si>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</si>
  <si>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</si>
  <si>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</si>
  <si>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</si>
  <si>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</si>
  <si>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</si>
  <si>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</si>
  <si>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</si>
  <si>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</si>
  <si>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</si>
  <si>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</si>
  <si>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</si>
  <si>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</si>
  <si>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</si>
  <si>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</si>
  <si>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</si>
  <si>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</si>
  <si>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</si>
  <si>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</si>
  <si>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</si>
  <si>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</si>
  <si>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</si>
  <si>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</si>
  <si>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</si>
  <si>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</si>
  <si>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</si>
  <si>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</si>
  <si>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</si>
  <si>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</si>
  <si>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</si>
  <si>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</si>
  <si>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</si>
  <si>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</si>
  <si>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</si>
  <si>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</si>
  <si>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</si>
  <si>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</si>
  <si>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</si>
  <si>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</si>
  <si>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</si>
  <si>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</si>
  <si>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</si>
  <si>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</si>
  <si>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</si>
  <si>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</si>
  <si>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</si>
  <si>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</si>
  <si>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</si>
  <si>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</si>
  <si>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</si>
  <si>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</si>
  <si>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</si>
  <si>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</si>
  <si>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</si>
  <si>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</si>
  <si>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</si>
  <si>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</si>
  <si>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</si>
  <si>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</si>
  <si>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</si>
  <si>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</si>
  <si>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</si>
  <si>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</si>
  <si>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</si>
  <si>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</si>
  <si>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</si>
  <si>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</si>
  <si>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</si>
  <si>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</si>
  <si>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</si>
  <si>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</si>
  <si>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</si>
  <si>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</si>
  <si>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</si>
  <si>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</si>
  <si>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</si>
  <si>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</si>
  <si>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</si>
  <si>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</si>
  <si>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</si>
  <si>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</si>
  <si>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</si>
  <si>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</si>
  <si>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</si>
  <si>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</si>
  <si>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</si>
  <si>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</si>
  <si>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</si>
  <si>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</si>
  <si>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</si>
  <si>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</si>
  <si>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</si>
  <si>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</si>
  <si>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</si>
  <si>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</si>
  <si>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</si>
  <si>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</si>
  <si>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</si>
  <si>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</si>
  <si>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</si>
  <si>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</si>
  <si>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</si>
  <si>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</si>
  <si>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</si>
  <si>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</si>
  <si>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</si>
  <si>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</si>
  <si>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</si>
  <si>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</si>
  <si>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</si>
  <si>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</si>
  <si>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</si>
  <si>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</si>
  <si>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</si>
  <si>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</si>
  <si>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</si>
  <si>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</si>
  <si>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</si>
  <si>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</si>
  <si>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</si>
  <si>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</si>
  <si>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</si>
  <si>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</si>
  <si>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</si>
  <si>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</si>
  <si>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</si>
  <si>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</si>
  <si>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</si>
  <si>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</si>
  <si>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</si>
  <si>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</si>
  <si>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</si>
  <si>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</si>
  <si>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</si>
  <si>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</si>
  <si>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</si>
  <si>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</si>
  <si>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</si>
  <si>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</si>
  <si>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</si>
  <si>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</si>
  <si>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</si>
  <si>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</si>
  <si>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</si>
  <si>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</si>
  <si>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</si>
  <si>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</si>
  <si>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</si>
  <si>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</si>
  <si>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</si>
  <si>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</si>
  <si>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</si>
  <si>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</si>
  <si>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</si>
  <si>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</si>
  <si>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</si>
  <si>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</si>
  <si>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</si>
  <si>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</si>
  <si>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</si>
  <si>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</si>
  <si>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</si>
  <si>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</si>
  <si>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</si>
  <si>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</si>
  <si>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</si>
  <si>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</si>
  <si>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</si>
  <si>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</si>
  <si>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</si>
  <si>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</si>
  <si>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</si>
  <si>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</si>
  <si>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</si>
  <si>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</si>
  <si>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</si>
  <si>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</si>
  <si>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</si>
  <si>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</si>
  <si>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</si>
  <si>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</si>
  <si>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</si>
  <si>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</si>
  <si>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</si>
  <si>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</si>
  <si>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</si>
  <si>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</si>
  <si>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</si>
  <si>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</si>
  <si>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</si>
  <si>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</si>
  <si>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</si>
  <si>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</si>
  <si>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</si>
  <si>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</si>
  <si>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</si>
  <si>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</si>
  <si>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</si>
  <si>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</si>
  <si>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</si>
  <si>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</si>
  <si>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</si>
  <si>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</si>
  <si>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</si>
  <si>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</si>
  <si>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</si>
  <si>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</si>
  <si>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</si>
  <si>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</si>
  <si>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</si>
  <si>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</si>
  <si>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</si>
  <si>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</si>
  <si>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</si>
  <si>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</si>
  <si>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</si>
  <si>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</si>
  <si>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</si>
  <si>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</si>
  <si>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</si>
  <si>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</si>
  <si>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</si>
  <si>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</si>
  <si>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</si>
  <si>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</si>
  <si>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</si>
  <si>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</si>
  <si>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</si>
  <si>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</si>
  <si>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</si>
  <si>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</si>
  <si>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</si>
  <si>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</si>
  <si>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</si>
  <si>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</si>
  <si>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</si>
  <si>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</si>
  <si>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</si>
  <si>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</si>
  <si>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</si>
  <si>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</si>
  <si>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</si>
  <si>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</si>
  <si>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FATURAMENTO TOTAL</t>
  </si>
  <si>
    <t>QTD DE ASSINATURAS</t>
  </si>
  <si>
    <t>TICKET MÉDIO</t>
  </si>
  <si>
    <t>TOTAL DE 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</si>
</sst>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[$R$-416]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164" fontId="0" fillId="0" borderId="0" xfId="0" applyNumberFormat="1"/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0" borderId="2" xfId="0" applyFont="1" applyFill="1" applyBorder="1"/>
    <xf numFmtId="0" fontId="3" fillId="10" borderId="2" xfId="0" applyFont="1" applyFill="1" applyBorder="1" applyAlignment="1">
      <alignment horizontal="center"/>
    </xf>
    <xf numFmtId="165" fontId="3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11" Type="http://schemas.openxmlformats.org/officeDocument/2006/relationships/customXml" Target="../customXml/item3.xml" /><Relationship Id="rId5" Type="http://schemas.openxmlformats.org/officeDocument/2006/relationships/theme" Target="theme/theme1.xml" /><Relationship Id="rId10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1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6" Type="http://schemas.openxmlformats.org/officeDocument/2006/relationships/image" Target="../media/image6.png" /><Relationship Id="rId5" Type="http://schemas.openxmlformats.org/officeDocument/2006/relationships/image" Target="../media/image5.png" /><Relationship Id="rId10" Type="http://schemas.openxmlformats.org/officeDocument/2006/relationships/image" Target="../media/image10.svg" /><Relationship Id="rId4" Type="http://schemas.openxmlformats.org/officeDocument/2006/relationships/image" Target="../media/image4.svg" /><Relationship Id="rId9" Type="http://schemas.openxmlformats.org/officeDocument/2006/relationships/image" Target="../media/image9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8661" y="5467695"/>
          <a:ext cx="1553632" cy="755248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121208</xdr:colOff>
      <xdr:row>0</xdr:row>
      <xdr:rowOff>146035</xdr:rowOff>
    </xdr:from>
    <xdr:to>
      <xdr:col>1</xdr:col>
      <xdr:colOff>1622779</xdr:colOff>
      <xdr:row>1</xdr:row>
      <xdr:rowOff>483038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E73CB2-28A3-1E4F-8F9F-EC4AF8BF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235" y="146035"/>
          <a:ext cx="1501571" cy="5279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"/>
  <cols>
    <col min="9" max="9" width="3.62890625" customWidth="1"/>
  </cols>
  <sheetData>
    <row r="3" spans="2:16" ht="21.7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"/>
    <row r="5" spans="2:16" x14ac:dyDescent="0.2">
      <c r="B5" s="3" t="s">
        <v>2</v>
      </c>
      <c r="C5" t="s">
        <v>8</v>
      </c>
      <c r="E5" s="7" t="s">
        <v>6</v>
      </c>
      <c r="F5" t="s">
        <v>7</v>
      </c>
    </row>
    <row r="6" spans="2:16" x14ac:dyDescent="0.2">
      <c r="B6" s="4" t="s">
        <v>3</v>
      </c>
      <c r="C6" t="s">
        <v>8</v>
      </c>
    </row>
    <row r="7" spans="2:16" x14ac:dyDescent="0.2">
      <c r="B7" s="5" t="s">
        <v>4</v>
      </c>
      <c r="C7" t="s">
        <v>9</v>
      </c>
    </row>
    <row r="8" spans="2:16" x14ac:dyDescent="0.2">
      <c r="B8" s="6" t="s">
        <v>5</v>
      </c>
      <c r="C8" t="s">
        <v>9</v>
      </c>
    </row>
    <row r="12" spans="2:16" ht="21.7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">
      <c r="B13" s="2"/>
      <c r="C13" s="2"/>
      <c r="D13" s="2"/>
      <c r="E13" s="2"/>
      <c r="F13" s="2"/>
      <c r="G13" s="2"/>
      <c r="H13" s="2"/>
    </row>
    <row r="14" spans="2:16" x14ac:dyDescent="0.2">
      <c r="B14" s="2"/>
      <c r="C14" s="2"/>
      <c r="D14" s="2"/>
      <c r="E14" s="2"/>
      <c r="F14" s="2"/>
      <c r="G14" s="2"/>
      <c r="H14" s="2"/>
    </row>
    <row r="15" spans="2:16" x14ac:dyDescent="0.2">
      <c r="B15" s="2"/>
      <c r="C15" s="2"/>
      <c r="D15" s="2"/>
      <c r="E15" s="2"/>
      <c r="F15" s="2"/>
      <c r="G15" s="2"/>
      <c r="H15" s="2"/>
    </row>
    <row r="16" spans="2:1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J1" zoomScale="90" zoomScaleNormal="90" workbookViewId="0">
      <selection activeCell="M312" sqref="M312"/>
    </sheetView>
  </sheetViews>
  <sheetFormatPr defaultRowHeight="15" x14ac:dyDescent="0.2"/>
  <cols>
    <col min="1" max="1" width="17.890625" bestFit="1" customWidth="1"/>
    <col min="2" max="2" width="18.83203125" bestFit="1" customWidth="1"/>
    <col min="3" max="3" width="9.4140625" bestFit="1" customWidth="1"/>
    <col min="4" max="4" width="14.52734375" bestFit="1" customWidth="1"/>
    <col min="5" max="5" width="18.0234375" bestFit="1" customWidth="1"/>
    <col min="6" max="6" width="14.66015625" bestFit="1" customWidth="1"/>
    <col min="7" max="7" width="22.05859375" bestFit="1" customWidth="1"/>
    <col min="8" max="8" width="20.58203125" bestFit="1" customWidth="1"/>
    <col min="9" max="9" width="20.58203125" customWidth="1"/>
    <col min="10" max="10" width="16.6796875" bestFit="1" customWidth="1"/>
    <col min="11" max="11" width="21.25390625" bestFit="1" customWidth="1"/>
    <col min="12" max="12" width="12.64453125" bestFit="1" customWidth="1"/>
    <col min="13" max="13" width="10.625" bestFit="1" customWidth="1"/>
  </cols>
  <sheetData>
    <row r="1" spans="1:13" ht="27.75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"/>
  <sheetViews>
    <sheetView showGridLines="0" workbookViewId="0">
      <selection activeCell="C2" sqref="C2"/>
    </sheetView>
  </sheetViews>
  <sheetFormatPr defaultRowHeight="15" x14ac:dyDescent="0.2"/>
  <cols>
    <col min="1" max="1" width="18.83203125" customWidth="1"/>
    <col min="2" max="2" width="20.17578125" customWidth="1"/>
    <col min="3" max="3" width="13.44921875" customWidth="1"/>
    <col min="4" max="4" width="30.53515625" bestFit="1" customWidth="1"/>
    <col min="5" max="5" width="6.3203125" customWidth="1"/>
    <col min="6" max="6" width="19.1015625" bestFit="1" customWidth="1"/>
    <col min="7" max="7" width="27.7109375" bestFit="1" customWidth="1"/>
    <col min="8" max="8" width="5.37890625" customWidth="1"/>
    <col min="9" max="9" width="21.1171875" bestFit="1" customWidth="1"/>
    <col min="10" max="11" width="35.109375" bestFit="1" customWidth="1"/>
    <col min="12" max="15" width="9.68359375" bestFit="1" customWidth="1"/>
    <col min="16" max="16" width="15.6015625" bestFit="1" customWidth="1"/>
    <col min="17" max="17" width="12.10546875" bestFit="1" customWidth="1"/>
  </cols>
  <sheetData>
    <row r="1" spans="1:3" x14ac:dyDescent="0.2">
      <c r="A1" t="s">
        <v>313</v>
      </c>
      <c r="B1" t="s">
        <v>314</v>
      </c>
      <c r="C1" t="s">
        <v>315</v>
      </c>
    </row>
    <row r="2" spans="1:3" x14ac:dyDescent="0.2">
      <c r="A2" s="12">
        <f>SUM(Tabela1[Total Value])</f>
        <v>7633</v>
      </c>
      <c r="B2">
        <f>COUNTA(Tabela1[Name])</f>
        <v>295</v>
      </c>
      <c r="C2">
        <f>AVERAGE(Tabela1[Total Value])</f>
        <v>25.874576271186442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50"/>
  <sheetViews>
    <sheetView showGridLines="0" tabSelected="1" zoomScale="80" zoomScaleNormal="80" workbookViewId="0">
      <selection activeCell="B17" sqref="B17"/>
    </sheetView>
  </sheetViews>
  <sheetFormatPr defaultRowHeight="15" x14ac:dyDescent="0.2"/>
  <cols>
    <col min="1" max="1" width="20.04296875" customWidth="1"/>
    <col min="2" max="2" width="24.34765625" customWidth="1"/>
    <col min="4" max="4" width="20.984375" customWidth="1"/>
    <col min="6" max="6" width="14.125" customWidth="1"/>
    <col min="12" max="12" width="6.58984375" customWidth="1"/>
  </cols>
  <sheetData>
    <row r="1" spans="1:26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68.25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6.2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6.25" customHeight="1" x14ac:dyDescent="0.2">
      <c r="A4" s="13"/>
      <c r="B4" s="17" t="s">
        <v>313</v>
      </c>
      <c r="C4" s="13"/>
      <c r="D4" s="16" t="s">
        <v>316</v>
      </c>
      <c r="E4" s="13"/>
      <c r="F4" s="17" t="s">
        <v>315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15" customFormat="1" ht="21" customHeight="1" x14ac:dyDescent="0.2">
      <c r="A5" s="14"/>
      <c r="B5" s="18">
        <f>C̳álculos!A2</f>
        <v>7633</v>
      </c>
      <c r="C5" s="14"/>
      <c r="D5" s="19">
        <f>C̳álculos!B2</f>
        <v>295</v>
      </c>
      <c r="E5" s="14"/>
      <c r="F5" s="19">
        <f>C̳álculos!C2</f>
        <v>25.874576271186442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.75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7" customHeight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www.w3.org/2000/xmlns/"/>
    <ds:schemaRef ds:uri="851b35d3-0456-4d6a-bc2f-da927e91d158"/>
    <ds:schemaRef ds:uri="http://schemas.microsoft.com/office/infopath/2007/PartnerControls"/>
    <ds:schemaRef ds:uri="19483571-f922-4e8e-9c1c-26f0a2252132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2024-12-19T13:13:10Z</dcterms:created>
  <dcterms:modified xsi:type="dcterms:W3CDTF">2024-12-24T16:08:13Z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